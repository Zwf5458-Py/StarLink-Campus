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80" windowHeight="123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<sst xmlns="http://schemas.openxmlformats.org/spreadsheetml/2006/main" count="36" uniqueCount="36">
  <si>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序号</t>
  </si>
  <si>
    <t>项目名称</t>
  </si>
  <si>
    <t>功能参数</t>
  </si>
  <si>
    <t>数量</t>
  </si>
  <si>
    <t>单价</t>
  </si>
  <si>
    <t>小计（单位：元）</t>
  </si>
  <si>
    <t>智慧班牌班牌终端</t>
  </si>
  <si>
    <t>黑银510.7×338×28mm铝合金+钣金件7kg,RK3288，超强四核Cortex-A17，频率高达1.8GHz,ARM Mali-T764 600MHz 2G 16G LED高清IPS屏21.5 500cd/m²1920×1080 1000:1≥16.7M colors上下178度，左右178度50000小时投射式容触摸屏，G+G10点触摸≤5ms莫氏7级物理钢化玻璃3mm,200W宽动态HDR支持逆光识别3W×2立体声喇叭内置电源小板 220V 50/60HzDC-IN*1，RJ45*1，USB2.0 *2支持BT4.0支持 802.11b/g/n，支持2.4G10M/100M/1000M自适应以太网支持IC/ID 读卡，13.56MHz通用频率Android 5.1&amp;Android 7.1支持wmv、avi、flv、rm、rmvb、mpeg 、ts、mp4等支持JPG、BMP、PNG等各种图片格式浏览并支持旋转/幻灯片播放≤1W≤30W -20℃- +80℃ -20℃- +60℃</t>
  </si>
  <si>
    <t>智慧班牌资源管理平台</t>
  </si>
  <si>
    <t>1、支持多模式智能自动切换。包含常规模式、紧急通知模式、全屏模式、考试模式，其中全屏模式支持按周期显示、退
出功能、自动轮播功能；
2、班级概况功能：支持显示班级名称，班主任，学生人数，教师人数，时间等信息；同时可展示班级昵称、LOGO、班主
任寄语等；
3、班级风采展示：能显示班级活动、师生风采、学生作品、班级荣誉。可与班级圈进行数据对接；
4、班级课表展示：能显示当前的班级课表，并能实时显示调课信息；
5、学校通知展示：能显示学校发布的各类通知，如活动通知、会议通知等；
6、班级德育展示：能显示班级常规检查的活动信息，能显示班级得分及排名；
7、提供班级视频功能，可自由设置视频分类；
8、提供班级值日功能，支持展示班级值日生人员安排；
9、人脸识别：电子班牌需要具备人脸识别功能，学生通过触发人脸识别功能进行人脸识别打卡功能；
10、提供个人查询功能：支持查询自己的课表、参与的活动等；
11、考勤：显示班级学生考勤情况，包含迟到人数、缺勤人数、请假人数等。支持在线请假功能，学生可通过班牌进行请假，老师审核结果通过班牌对学生进行提醒；
12、教师信息:显示班级任课老师的请假、外出、出差等信息</t>
  </si>
  <si>
    <t>管理服务器</t>
  </si>
  <si>
    <t>2*3206R 2*32G 3*2T SASH730P 2G缓存 导轨750W单电源 处理器配置2个Intel Xeon E5-2609V4八核处理器（1.7GHz，20MB三级缓存） 内存本次配置64GBTruDDR4内存，最多24个内存插槽，最高达 1.5 TB 具有 SKHynix 64 GB* TruDDR4 MemoryLRDIMM的内存，快速内存的带宽能够以最高 2133 MHz的频率运行，系统支持RDIMM/LRDIMM 硬盘 3块2T 7.2K热插拔SAS硬盘，最大可扩展至26块硬盘 硬盘支持性支持多达 24 个前端和 2个后端 2.5 英寸HDD/SSD；多达 12 个 3.5英寸和 2 个 3.5 英寸 HDD 和2 个 2.5 英寸 HDD/SDD；多达8 个 3.5 英寸 HDD 和 2个后端 3.5 英寸 HDD 或 2.5英寸 HDD/SDD RAID卡配置单独的基于12Gbps技术的阵列控制器（支持 4 个 RAID适配器）第一个 RAID主板上的专用 12 Gbps RAID控制器 （不占用 PCIe插槽）配置≥1GBFLASH缓存,可支持RAID0，1，5，10</t>
  </si>
  <si>
    <t>因服务器厂家对地区保护有要求，我们无法供货，请集成商自行采购</t>
  </si>
  <si>
    <t>智慧校园平台系统</t>
  </si>
  <si>
    <t xml:space="preserve">"智慧校园平台
系统环境：操作系统：windows server系统；数据库系统：mysql;支持VMware虚拟机方式的部署。系统架构：Apache /nginx +PHP；客户端操作系统环境：不低于WindowsXP版本，兼容Windows8/Windows10。浏览器兼容：IE各版本浏器，苹果Safari浏览器，Opera浏览器等。具备平台伺服系统：支持socket连接，支持伺服日志生成，支持数据库连接状态显示，支持工作现时状态显示，支持开机自启动，支持数据备份。
为校园提供统一的基础数据管理中心，包括学校信息管理、用户（含教师、学生、家长）信息管理、班级信息管理、学科信息管理、学年学期信息管理、教师任教信息管理、学校组织架构信息管理、教室信息管理等功能。平台各业务系统依赖于上述基础数据，只有在学校完成上述基础信息的设置之后，各业务系统才能正常运转。
校园基础信息数据库中各扩展数据通过统一的学校编码、教职工编码、学生编码建立联系。纵向贯穿教育形成全局集成的学校、教职工、学生基础信息数据库；横向打通学校、教职工、学生关系形成全面整合的教育扩展信息数据库。在教育基础信息数据库中，学校、教职工、学生三个管理对象的基本信息是国家教育管理信息系统信息关联、业务衔接和数据分析、挖掘的基础。因此，重点对这三类信息进行了详细设计。"
1、组织结构管理
管理者可以在园所管理后台查询、修改园所的信息，包括园所中文名称、英文名称、所在地区、园所logo、园所简介、办学资质、联系方式等信息，并且可以自定义园所年级信息和班级信息，在园所系管理后台增加、删除、修改、查询年级及班级信息，包括年级名称、班级名称、班额人数、班级老师、归属年级等信息。
系统支持对班级进行批量升班操作，升班后班级下学生升入下一个年级。此外，支持对毕业班进行批量毕业操作，毕业后的班级和班级学生进入毕业生库，被授权的教职工可以查看已毕业班级和学生的历史档案信息。
 2、角色权限管理 系统可以实现基于角色的访问控制策略，结合细分的系统权限，系统应用可以按需定权。并且支持多样化的角色配置，支持系统管理员选择功能权限设置为自定义角色。而且可以提供预定义的角色权限（包括管理者、教学主管、行政后勤主管、教师、后厨、财务等），用户可以自行选择。管理者可以将角色授权给用户，用户即可使用角色所被授权的功能，一名用户可以拥有多个角色权限，一个角色权限也可以同时委派给多名用户。拥有多个角色的用户其权限为多个角色权限的叠加。用户只能访问自己被授权的功能和数据
3、人员管理系统提供园所教职工和幼儿基础信息档案管理，支持自助建档和批量建档，可对幼儿的基本信息、家庭信息进行管理维护，可对教职工的基本信息、教育信息和职业发展信息进行管理维护，有效解决传统的纸质档案的更新不及时，统计核对费时费力的问题。
</t>
  </si>
  <si>
    <t>校园门户网站学校新闻、通知公告、基本信息等内容的发布与更新。栏目设置：自定义门户网站栏目，包括栏目类型、目录树、继承权限。
微官网园所可建设自己的官网作为文化建设和对外宣传的重要基地。老师可将校园新鲜事、校园红头文件、公告等信息实时更新至园所主页，让家长了解园所内的大事小事，增强家园间的信息传递；还可撰写文章，发布至园所主页，分享到社交平台（如微信公众号），充分利用新媒体方式宣传办园特色。园所可以根据实际需要定制主页的栏目分类，供老师和用户按类别进行浏览。老师、家长均可对文章内容进行评论和点赞，老师可对评论进行审核，屏蔽不良内容。</t>
  </si>
  <si>
    <t>园务管理系统</t>
  </si>
  <si>
    <t xml:space="preserve">办公审批系统支持对审批流程进行在线设置，园所可对不同的业务类型自定义设置流程模型。
教职工可以在手机上进行各业务审批发起，包括请假、加班、补卡申请，申请时按设定的考勤规则自动限制和计算申请单内容，申请起后支持对表单的撤销和修改。审批人对已发起的表单进行审核，包括对表单进行通过和拒绝，通过后支持按设定的考勤规则对审批结果进行相应的结算和转化。系统对园所的所有审批记录的查看，并支持按多条件对记录进行数据检和导出。 </t>
  </si>
  <si>
    <t>校园考勤系统</t>
  </si>
  <si>
    <t xml:space="preserve">一、幼儿考勤
 1.入园入园时，幼儿通过刷脸门禁终端进行身份验证和体温检测，可通过人脸识别和刷卡两种方式验证身份，通过刷脸门禁终端时可自动测量幼儿体温，当体温超过设定阈值时，系统会发出声光警示，老师可禁止幼儿入园。 
2.离园离园时，负责接送的家长通过在入口处刷脸门禁终端刷脸识别身份，完成刷脸后孩子便可从园内通过门禁离园，从而确保接送人员的信息得到记录。幼儿离园后，离园信息将推送给该幼儿的家长、老师，家长与老师可查看幼儿的接送时间、接送人、接送照片。 
3.请假若幼儿有特殊情况需要请假，家长可以在手机（家长端）提交请假申请，说明请假时间与原因后，即可将请假信息同步给带班老师。带班老师在接收到信息后，可在手机（教师端）进行在线处理，同时带班老师可以为班级幼儿修改在园/离园状态。
 4.考勤数据查看教师可查看本班幼儿的考勤报表，管理者可查看全园幼儿的考勤报表，包括应到人数、实到人数、请假人数、出勤率等信息。班级老师可以在每月关账日前，可以按单个或批量为幼儿结算考勤状态，结算后的考勤状态将不能修改，将作为幼儿退费的依据。
</t>
  </si>
  <si>
    <t>二、教职工考勤 
1.上下班打卡
教职工可以通过刷脸门禁终端刷脸方式进行身份验证完成考勤，也可通过手机端进行定位打卡考勤，系统支持按定位地点区分是否外勤打卡。 2.补卡与请假当教职工出现忘记考勤打卡的情况，可通过手机端进行补卡申请。系统支持多条补卡审批规则创建和管理，如允许发起补卡的时间、发起次数限制设置。若教职工有特殊情况需要请假，则可在手机端提交请假申请，审批通过后则请假成功。
 3.考勤规则设置系统支持多次上下班班次时间的设置及各类与班次相关的考勤规则，支持预设不同岗位人员的班次时间，包括：教师、行政人员、保育员、保健员、厨师等。对考勤组人员可以进行多种方式排班，既支持按考勤规则进行自动排班，又支持管理人员手动排班。此外，还可设置假期和加班审批规则，系统支持对员工假期余额发放的管理，支持多条加班审批规则的创建和管理，支持按规则将加班结果自动统计为调休假期余额，支持多条补卡审批规则的创建和管理。 
4.考勤数据查看园所管理者可以查看全园教职工的出勤报表，包括应到人数、实到人数、请假人数、迟到人数、迟到分钟、早退人数、出勤率等信息，统计数据支持以表格文件形式导出。</t>
  </si>
  <si>
    <t>校园安防系统</t>
  </si>
  <si>
    <t xml:space="preserve">1、巡检管理
园所管理者可以建立、维护一套符合园本特色和安全规范的保安巡查工作细则和巡更点位库。园所管理者可将常用的巡更点位维护为固定的巡更路线。园所管理者可以发布单次巡更任务和周期性巡更任务，发布个人巡更任务和团队巡更任务。园所管理者可根据巡更任务需要，设定每个任务每天的巡更次数以及每次对应的巡更时间区间。保安通过选择点位信息进入巡更打卡页面，依次完成该点位的各个巡检项检查。保安在点位巡检时如发现异常情况，可以上报该点位异常信息。为保质保量执行巡更任务，支持保安在每个点位上传现场照片，并在照片上呈现拍照瞬间的时间戳。园所管理者可以实时收到保安上报的点位异常信息通知和异常工单汇总数据，并可以根据点位异常信息，将异常工单指派给对应的教职工进行修复。点位异常修复后，管理员可以关闭异常工单，该点位异常报警解除。园所管理者可以查看每日巡更任务完成进度，异常情况汇总，最新保安巡更动态，并查看每月巡更任务完成统计，隐患点位统计和保安巡更排行榜，支持保安查看自己每日巡更任务完成进度，待办巡更任务，漏检次数等数据，并查看自己每月巡更任务统计，漏检次数统计，异常处理统计等数据。
</t>
  </si>
  <si>
    <t>2、访客管理
园所管理者可配置本园访客申请所需填写内容以及访客入园和离园时需要验证的内容。访客可以通过扫描园所张贴的访客二维码或打开园所分享、展示的访客申请链接，进入访客预约网页，填写所需信息后提交预约申请。接待老师可以通过或者拒绝需要接待的访客预约申请，系统将审核结果以短信方式通知每位访客。还可以查询需要自己接待的访客信息，幼儿园管理员和保安可以查询所有的访客数据。保安可以验证访客的二维码通行证，同时根据园本访客单配
置逐项完园所信息验证。当访客产生超时滞留后，系统将提醒保安发生访客滞留。园所管理者可对访客人员状态、来访时间、离园时间、访客照片、来访目的等信息进行筛选统计，并可一键生成报表打印。</t>
  </si>
  <si>
    <t>卫生保健系统</t>
  </si>
  <si>
    <t>1、过敏源和既往史管理
"家长可提报和修订幼儿的过敏源和既往病史等信息，系统也会自动提供食物、药物、生活常见过敏源标签供便捷填写。老师可通过关键字快速查询过级内需要特别注意的幼儿健康信息。过敏源和既往病史报备后，还将与食谱信息结合分析，自动避开幼儿过敏食品，保障幼儿用餐安全。"
2、幼儿晨检
晨检是幼儿园每日非常重要的一项工作。每日晨检时，保健医生只需手持智能晨检终端对着幼儿拍照，即可轻松完成幼儿人脸识别和额温检测，还可在晨检设备上通过打标签的方式记录幼儿的健康情况，并可拍照留存。幼儿完成晨检后，信息将实时推送给老师和家长，教师可查看本班幼儿的晨检报表，家长可及时获知孩子的晨检信息。保健医生可以手持智能管理终端设备拍摄幼儿脸部，自动完成人脸识别身份。保健医生可以手持智能管理终端设备对幼儿进行额温检测，并记录额温数据，平台支持对异常额温反馈提醒信息。
保健医生可以在晨检设备上通过打标签的方式记录幼儿的健康情况，并可以拍照留存幼儿身体异常部位照片信息，并根据幼儿的晨检情况，在智能管理终端设备上为幼儿打上晨检结果标签。老师可以按日、月统计园所幼儿晨检记录，可以分班级、分检查项、分晨检状
态筛选数据，可以根据筛选条件导出数据。家长和老师可以按日查看幼儿晨检记录，也可以按月查看幼儿晨检统计数据。"</t>
  </si>
  <si>
    <t>家园共育系统</t>
  </si>
  <si>
    <t xml:space="preserve">1、班级圈
"老师在教学活动过程中，可拍摄的孩子照片、视频，并作为班级动态发布至班级圈，以便让家长实时了解园所的教学状况和孩子的在园动态。家长也可将孩子在家庭教育或活动中的精彩时刻分享至班级圈。老师或家长发布的班级圈，同班级内的家长、老师互相之间均可以进行点赞评论，形成活跃的班级互动氛围，从而提升家园互动质量。
班级圈支持智能识别文字、图片、视频、语音等多媒体的内容，自动屏蔽色情、暴恐、涉政等违规内容。对于班级内家长发布的不良影响的文字、图片内容，老师可将其设为屏蔽状态，屏蔽后其他家长均无法查看该条不良影响的班级圈，使影响降低到最小。"
</t>
  </si>
  <si>
    <t xml:space="preserve">2、通讯录
"平台提供通讯录教职工名单列表，教职工可以在教师端的通讯录中查看全园教职工的名单，系统根据教职工的姓名首字母顺序排列。支持一键拨号，教职工可以互相查看联系方式，并支持一键拨打电话功能，提高沟通效率。平台提供通讯录学生名单列表，拥有权限的教职工可以根据班级顺序查看对应班级学生列表。支持一键拨号，教职工可以点击详细查看孩子家长的联系方式，并通过一键拨号功能直接拨打电话。"
</t>
  </si>
  <si>
    <t xml:space="preserve"> 3、通知公告
园所可定向（面向全体教职工、全体家长等）发布重要通知，并可查看通知接收人查看的状态。通知发出后，发送者若发现某些接收人一直处于未读通知的状态，可以一键提醒其查看通知，提醒将会通过站内信的方式告知接收人，以此提高信息传达效率。</t>
  </si>
  <si>
    <t>数智监管系统</t>
  </si>
  <si>
    <t>园所统计报表
(1)幼儿考勤：支持对园所当日幼儿整体出勤人数、病假人数、事假人数、缺勤人数、未晨检人数的统计，数据可下钻至班级粒度进行汇总；支持按历史日期查询。
(2)教师考勤统计：支持对园所当日教职工整体打卡人数、迟到人数、迟到分钟、早退人数，同时支持对教职工按月度汇长、缺卡人数、迟到人数、迟
到分钟、早退人数、缺勤人数等。
(3)幼儿考勤开通统计：支持对园所当前幼儿整体考勤总开通率进行统计，包括对接送人添加、考勤卡开通、人脸识别开通等统计；支持下钻到班级粒度进行汇总。
(4)晨检统计：支持对园所当日幼儿整体晨检情况进行统计，包括已晨检人数和晨检率；同时还支持幼儿晨检不同晨检状态以及症状的人数分布，支持按历史日期查询。
(5)体温统计：支持对园所当日幼儿整体体温检查统计，包括体温正常、异常人数汇总，以及高温、低温人数的汇总；支持下钻到班级粒度进行汇总；支持按历史日期查询。
(6)身高评价：支持对园所最新体检计划中的身高测量数据的统计，包括体检幼儿的生长正常、生长过快、生长缓慢的人数汇总；支持下钻到班级粒度进行汇总：
(7)体重评价：支持对园所最新体检计划中的体重测量数据的统计，包括体检幼儿的体重正常、体重超标、体重低下的人数汇总；支持下钻到班级粒度进行汇总。
(8)本周互动：支持对园所本周家长和教师发布互动数据的统计，按班级统计班级圈、智能相册、亲子活动、点赞评论、班级通知、教学计划的发布条数的排名。"</t>
  </si>
  <si>
    <t>班牌硬件及软件合计：</t>
  </si>
  <si>
    <t>软件项目实施费用（不含班牌硬件安装施工费及材料费）</t>
  </si>
  <si>
    <t>项目合计：</t>
  </si>
  <si>
    <t>注意事项：班牌硬件安装相关工作，需要集成商自行安排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</si>
</sst>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2">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Font="1" applyBorder="1" applyAlignment="1">
      <alignment horizontal="center" vertical="center"/>
    </xf>
    <xf numFmtId="0" fontId="0" fillId="0" borderId="1" xfId="0" applyBorder="1" applyAlignment="1">
      <alignment horizontal="right" vertical="center"/>
    </xf>
    <xf numFmtId="0" fontId="1" fillId="0" borderId="1" xfId="0" applyFont="1" applyBorder="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
  <sheetViews>
    <sheetView tabSelected="1" topLeftCell="A16" workbookViewId="0">
      <selection activeCell="F24" sqref="F24"/>
    </sheetView>
  </sheetViews>
  <sheetFormatPr defaultColWidth="9.23076923076923" defaultRowHeight="16.8" outlineLevelCol="5"/>
  <cols>
    <col min="1" max="1" width="9.23076923076923" style="1"/>
    <col min="2" max="2" width="16.8269230769231" style="2" customWidth="1"/>
    <col min="3" max="3" width="56.0961538461538" style="2" customWidth="1"/>
    <col min="4" max="5" width="9.23076923076923" style="1"/>
    <col min="6" max="6" width="19.0673076923077" style="1" customWidth="1"/>
    <col min="7" max="16384" width="9.23076923076923" style="2"/>
  </cols>
  <sheetData>
    <row r="1" spans="1:6">
      <c r="A1" s="3" t="s">
        <v>0</v>
      </c>
      <c r="B1" s="4" t="s">
        <v>1</v>
      </c>
      <c r="C1" s="4" t="s">
        <v>2</v>
      </c>
      <c r="D1" s="3" t="s">
        <v>3</v>
      </c>
      <c r="E1" s="3" t="s">
        <v>4</v>
      </c>
      <c r="F1" s="3" t="s">
        <v>5</v>
      </c>
    </row>
    <row r="2" ht="108" customHeight="1" spans="1:6">
      <c r="A2" s="3">
        <v>1</v>
      </c>
      <c r="B2" s="5" t="s">
        <v>6</v>
      </c>
      <c r="C2" s="5" t="s">
        <v>7</v>
      </c>
      <c r="D2" s="3">
        <v>26</v>
      </c>
      <c r="E2" s="3">
        <v>2000</v>
      </c>
      <c r="F2" s="3">
        <f>D2*E2</f>
        <v>52000</v>
      </c>
    </row>
    <row r="3" ht="239" customHeight="1" spans="1:6">
      <c r="A3" s="3">
        <v>2</v>
      </c>
      <c r="B3" s="5" t="s">
        <v>8</v>
      </c>
      <c r="C3" s="5" t="s">
        <v>9</v>
      </c>
      <c r="D3" s="3">
        <v>1</v>
      </c>
      <c r="E3" s="3">
        <v>24000</v>
      </c>
      <c r="F3" s="3">
        <f>D3*E3</f>
        <v>24000</v>
      </c>
    </row>
    <row r="4" ht="123" customHeight="1" spans="1:6">
      <c r="A4" s="3">
        <v>3</v>
      </c>
      <c r="B4" s="4" t="s">
        <v>10</v>
      </c>
      <c r="C4" s="5" t="s">
        <v>11</v>
      </c>
      <c r="D4" s="3"/>
      <c r="E4" s="6" t="s">
        <v>12</v>
      </c>
      <c r="F4" s="3"/>
    </row>
    <row r="5" ht="391" customHeight="1" spans="1:6">
      <c r="A5" s="3">
        <v>4</v>
      </c>
      <c r="B5" s="6" t="s">
        <v>13</v>
      </c>
      <c r="C5" s="5" t="s">
        <v>14</v>
      </c>
      <c r="D5" s="3">
        <v>1</v>
      </c>
      <c r="E5" s="3">
        <v>31200</v>
      </c>
      <c r="F5" s="3">
        <f>D5*E5</f>
        <v>31200</v>
      </c>
    </row>
    <row r="6" ht="107" customHeight="1" spans="1:6">
      <c r="A6" s="3"/>
      <c r="B6" s="6"/>
      <c r="C6" s="5" t="s">
        <v>15</v>
      </c>
      <c r="D6" s="3">
        <v>1</v>
      </c>
      <c r="E6" s="3">
        <v>34000</v>
      </c>
      <c r="F6" s="3">
        <f t="shared" ref="F6:F14" si="0">D6*E6</f>
        <v>34000</v>
      </c>
    </row>
    <row r="7" ht="77" customHeight="1" spans="1:6">
      <c r="A7" s="3">
        <v>5</v>
      </c>
      <c r="B7" s="7" t="s">
        <v>16</v>
      </c>
      <c r="C7" s="5" t="s">
        <v>17</v>
      </c>
      <c r="D7" s="3">
        <v>1</v>
      </c>
      <c r="E7" s="3">
        <v>24000</v>
      </c>
      <c r="F7" s="3">
        <f t="shared" si="0"/>
        <v>24000</v>
      </c>
    </row>
    <row r="8" ht="153" customHeight="1" spans="1:6">
      <c r="A8" s="3">
        <v>6</v>
      </c>
      <c r="B8" s="3" t="s">
        <v>18</v>
      </c>
      <c r="C8" s="5" t="s">
        <v>19</v>
      </c>
      <c r="D8" s="3">
        <v>1</v>
      </c>
      <c r="E8" s="3">
        <v>24000</v>
      </c>
      <c r="F8" s="3">
        <f t="shared" si="0"/>
        <v>24000</v>
      </c>
    </row>
    <row r="9" ht="175" customHeight="1" spans="1:6">
      <c r="A9" s="3"/>
      <c r="B9" s="3"/>
      <c r="C9" s="5" t="s">
        <v>20</v>
      </c>
      <c r="D9" s="3">
        <v>1</v>
      </c>
      <c r="E9" s="3">
        <v>24000</v>
      </c>
      <c r="F9" s="3">
        <f t="shared" si="0"/>
        <v>24000</v>
      </c>
    </row>
    <row r="10" ht="139" customHeight="1" spans="1:6">
      <c r="A10" s="3">
        <v>7</v>
      </c>
      <c r="B10" s="3" t="s">
        <v>21</v>
      </c>
      <c r="C10" s="5" t="s">
        <v>22</v>
      </c>
      <c r="D10" s="3">
        <v>1</v>
      </c>
      <c r="E10" s="3">
        <v>19200</v>
      </c>
      <c r="F10" s="3">
        <f t="shared" si="0"/>
        <v>19200</v>
      </c>
    </row>
    <row r="11" ht="109" customHeight="1" spans="1:6">
      <c r="A11" s="3"/>
      <c r="B11" s="3"/>
      <c r="C11" s="5" t="s">
        <v>23</v>
      </c>
      <c r="D11" s="3">
        <v>1</v>
      </c>
      <c r="E11" s="3">
        <v>24000</v>
      </c>
      <c r="F11" s="3">
        <f t="shared" si="0"/>
        <v>24000</v>
      </c>
    </row>
    <row r="12" ht="199" customHeight="1" spans="1:6">
      <c r="A12" s="3">
        <v>8</v>
      </c>
      <c r="B12" s="4" t="s">
        <v>24</v>
      </c>
      <c r="C12" s="5" t="s">
        <v>25</v>
      </c>
      <c r="D12" s="3">
        <v>1</v>
      </c>
      <c r="E12" s="3">
        <v>24000</v>
      </c>
      <c r="F12" s="3">
        <f t="shared" si="0"/>
        <v>24000</v>
      </c>
    </row>
    <row r="13" ht="84" customHeight="1" spans="1:6">
      <c r="A13" s="3">
        <v>9</v>
      </c>
      <c r="B13" s="3" t="s">
        <v>26</v>
      </c>
      <c r="C13" s="5" t="s">
        <v>27</v>
      </c>
      <c r="D13" s="3">
        <v>1</v>
      </c>
      <c r="E13" s="3">
        <v>14400</v>
      </c>
      <c r="F13" s="3">
        <f>D13*E13</f>
        <v>14400</v>
      </c>
    </row>
    <row r="14" ht="68" customHeight="1" spans="1:6">
      <c r="A14" s="3"/>
      <c r="B14" s="3"/>
      <c r="C14" s="5" t="s">
        <v>28</v>
      </c>
      <c r="D14" s="3">
        <v>1</v>
      </c>
      <c r="E14" s="3">
        <v>5000</v>
      </c>
      <c r="F14" s="3">
        <f>D14*E14</f>
        <v>5000</v>
      </c>
    </row>
    <row r="15" ht="71" customHeight="1" spans="1:6">
      <c r="A15" s="3"/>
      <c r="B15" s="3"/>
      <c r="C15" s="5" t="s">
        <v>29</v>
      </c>
      <c r="D15" s="3">
        <v>1</v>
      </c>
      <c r="E15" s="3">
        <v>14400</v>
      </c>
      <c r="F15" s="3">
        <f>D15*E15</f>
        <v>14400</v>
      </c>
    </row>
    <row r="16" ht="286" spans="1:6">
      <c r="A16" s="3">
        <v>10</v>
      </c>
      <c r="B16" s="4" t="s">
        <v>30</v>
      </c>
      <c r="C16" s="5" t="s">
        <v>31</v>
      </c>
      <c r="D16" s="3">
        <v>1</v>
      </c>
      <c r="E16" s="3">
        <v>75000</v>
      </c>
      <c r="F16" s="3">
        <f>D16*E16</f>
        <v>75000</v>
      </c>
    </row>
    <row r="17" spans="1:6">
      <c r="A17" s="8" t="s">
        <v>32</v>
      </c>
      <c r="B17" s="8"/>
      <c r="C17" s="8"/>
      <c r="D17" s="8"/>
      <c r="E17" s="8"/>
      <c r="F17" s="3">
        <f>SUM(F2:F16)</f>
        <v>389200</v>
      </c>
    </row>
    <row r="18" spans="1:6">
      <c r="A18" s="8" t="s">
        <v>33</v>
      </c>
      <c r="B18" s="8"/>
      <c r="C18" s="8"/>
      <c r="D18" s="8"/>
      <c r="E18" s="8"/>
      <c r="F18" s="3">
        <f>F17*0.1</f>
        <v>38920</v>
      </c>
    </row>
    <row r="19" spans="1:6">
      <c r="A19" s="8" t="s">
        <v>34</v>
      </c>
      <c r="B19" s="8"/>
      <c r="C19" s="8"/>
      <c r="D19" s="8"/>
      <c r="E19" s="8"/>
      <c r="F19" s="3">
        <f>F17+F18</f>
        <v>428120</v>
      </c>
    </row>
    <row r="20" spans="1:6">
      <c r="A20" s="9" t="s">
        <v>35</v>
      </c>
      <c r="B20" s="10"/>
      <c r="C20" s="10"/>
      <c r="D20" s="10"/>
      <c r="E20" s="10"/>
      <c r="F20" s="11"/>
    </row>
  </sheetData>
  <mergeCells count="12">
    <mergeCell ref="A17:E17"/>
    <mergeCell ref="A18:E18"/>
    <mergeCell ref="A19:E19"/>
    <mergeCell ref="A20:F20"/>
    <mergeCell ref="A5:A6"/>
    <mergeCell ref="A8:A9"/>
    <mergeCell ref="A10:A11"/>
    <mergeCell ref="A13:A15"/>
    <mergeCell ref="B5:B6"/>
    <mergeCell ref="B8:B9"/>
    <mergeCell ref="B10:B11"/>
    <mergeCell ref="B13:B1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dc:creator>
  <cp:lastModifiedBy>作业快反小程序</cp:lastModifiedBy>
  <dcterms:created xsi:type="dcterms:W3CDTF">2026-06-12T04:11:00Z</dcterms:created>
  <dcterms:modified xsi:type="dcterms:W3CDTF">2026-06-12T12:22:55Z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ABAE0857C4B1908BEFA52A6AC2FD32A5_41</vt:lpwstr>
  </property>
  <property fmtid="{D5CDD505-2E9C-101B-9397-08002B2CF9AE}" pid="3" name="KSOProductBuildVer">
    <vt:lpwstr>2052-6.8.2.8850</vt:lpwstr>
  </property>
</Properties>
</file>